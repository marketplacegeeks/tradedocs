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iket/Documents/Development/TradeDocs/frontend/tests/e2e/fixtures/"/>
    </mc:Choice>
  </mc:AlternateContent>
  <xr:revisionPtr revIDLastSave="0" documentId="13_ncr:1_{F56E6B8B-EE2F-F44B-89EE-13547C969733}" xr6:coauthVersionLast="47" xr6:coauthVersionMax="47" xr10:uidLastSave="{00000000-0000-0000-0000-000000000000}"/>
  <bookViews>
    <workbookView xWindow="38400" yWindow="600" windowWidth="38400" windowHeight="21000" activeTab="1" xr2:uid="{00000000-000D-0000-FFFF-FFFF00000000}"/>
  </bookViews>
  <sheets>
    <sheet name="Organisations" sheetId="1" r:id="rId1"/>
    <sheet name="Addresse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G13" i="2"/>
  <c r="G14" i="2" s="1"/>
  <c r="G15" i="2" s="1"/>
  <c r="G16" i="2" s="1"/>
  <c r="J16" i="2"/>
  <c r="I16" i="2"/>
  <c r="F16" i="2"/>
  <c r="E16" i="2"/>
  <c r="D16" i="2"/>
  <c r="C16" i="2"/>
  <c r="J15" i="2"/>
  <c r="I15" i="2"/>
  <c r="F15" i="2"/>
  <c r="E15" i="2"/>
  <c r="D15" i="2"/>
  <c r="C15" i="2"/>
  <c r="J14" i="2"/>
  <c r="I14" i="2"/>
  <c r="F14" i="2"/>
  <c r="E14" i="2"/>
  <c r="D14" i="2"/>
  <c r="C14" i="2"/>
  <c r="M13" i="2"/>
  <c r="M14" i="2" s="1"/>
  <c r="M15" i="2" s="1"/>
  <c r="M16" i="2" s="1"/>
  <c r="J13" i="2"/>
  <c r="I13" i="2"/>
  <c r="F13" i="2"/>
  <c r="E13" i="2"/>
  <c r="D13" i="2"/>
  <c r="C13" i="2"/>
  <c r="J12" i="2"/>
  <c r="I12" i="2"/>
  <c r="F12" i="2"/>
  <c r="E12" i="2"/>
  <c r="D12" i="2"/>
  <c r="C12" i="2"/>
  <c r="J11" i="2"/>
  <c r="I11" i="2"/>
  <c r="F11" i="2"/>
  <c r="E11" i="2"/>
  <c r="D11" i="2"/>
  <c r="C11" i="2"/>
  <c r="J10" i="2"/>
  <c r="I10" i="2"/>
  <c r="F10" i="2"/>
  <c r="E10" i="2"/>
  <c r="D10" i="2"/>
  <c r="C10" i="2"/>
  <c r="J9" i="2"/>
  <c r="I9" i="2"/>
  <c r="F9" i="2"/>
  <c r="E9" i="2"/>
  <c r="D9" i="2"/>
  <c r="C9" i="2"/>
  <c r="M8" i="2"/>
  <c r="M9" i="2" s="1"/>
  <c r="M10" i="2" s="1"/>
  <c r="M11" i="2" s="1"/>
  <c r="J8" i="2"/>
  <c r="I8" i="2"/>
  <c r="F8" i="2"/>
  <c r="E8" i="2"/>
  <c r="D8" i="2"/>
  <c r="C8" i="2"/>
  <c r="J7" i="2"/>
  <c r="I7" i="2"/>
  <c r="F7" i="2"/>
  <c r="E7" i="2"/>
  <c r="D7" i="2"/>
  <c r="C7" i="2"/>
  <c r="M3" i="2"/>
  <c r="M4" i="2" s="1"/>
  <c r="M5" i="2" s="1"/>
  <c r="M6" i="2" s="1"/>
  <c r="C6" i="2"/>
  <c r="I3" i="2"/>
  <c r="I4" i="2"/>
  <c r="I5" i="2"/>
  <c r="I6" i="2"/>
  <c r="I2" i="2"/>
  <c r="D2" i="2"/>
  <c r="E2" i="2"/>
  <c r="F2" i="2"/>
  <c r="J2" i="2"/>
  <c r="D3" i="2"/>
  <c r="E3" i="2"/>
  <c r="F3" i="2"/>
  <c r="J3" i="2"/>
  <c r="D4" i="2"/>
  <c r="E4" i="2"/>
  <c r="F4" i="2"/>
  <c r="J4" i="2"/>
  <c r="D5" i="2"/>
  <c r="E5" i="2"/>
  <c r="F5" i="2"/>
  <c r="J5" i="2"/>
  <c r="D6" i="2"/>
  <c r="E6" i="2"/>
  <c r="F6" i="2"/>
  <c r="J6" i="2"/>
  <c r="C3" i="2"/>
  <c r="C4" i="2"/>
  <c r="C5" i="2"/>
  <c r="C2" i="2"/>
</calcChain>
</file>

<file path=xl/sharedStrings.xml><?xml version="1.0" encoding="utf-8"?>
<sst xmlns="http://schemas.openxmlformats.org/spreadsheetml/2006/main" count="101" uniqueCount="61">
  <si>
    <t>Organisation Name</t>
  </si>
  <si>
    <t>Organisation Type</t>
  </si>
  <si>
    <t/>
  </si>
  <si>
    <t>Exporter</t>
  </si>
  <si>
    <t>Consignee</t>
  </si>
  <si>
    <t>Buyer</t>
  </si>
  <si>
    <t>Notify Party</t>
  </si>
  <si>
    <t>Vendor</t>
  </si>
  <si>
    <t>Address Type</t>
  </si>
  <si>
    <t>Address Line 1</t>
  </si>
  <si>
    <t>Address Line 2</t>
  </si>
  <si>
    <t>City</t>
  </si>
  <si>
    <t>State / Province</t>
  </si>
  <si>
    <t>PIN / ZIP</t>
  </si>
  <si>
    <t>Country</t>
  </si>
  <si>
    <t>Email</t>
  </si>
  <si>
    <t>Contact Name</t>
  </si>
  <si>
    <t>Phone Dial Code</t>
  </si>
  <si>
    <t>Phone Number</t>
  </si>
  <si>
    <t>IEC Code</t>
  </si>
  <si>
    <t>Tax Type</t>
  </si>
  <si>
    <t>Tax Code</t>
  </si>
  <si>
    <t>Registered</t>
  </si>
  <si>
    <t>How to use this file</t>
  </si>
  <si>
    <t>1. "Organisations" sheet — one row per organisation. Fill in the Organisation Name column for each of the 5 pre-listed types (leave Organisation Type as-is).</t>
  </si>
  <si>
    <t>2. "Addresses" sheet — one row per address. The Organisation Name here must be typed EXACTLY the same as the matching row in the Organisations sheet (copy-paste it to be safe).</t>
  </si>
  <si>
    <t>3. Every organisation needs at least one address. To add more addresses to the same organisation, add another row in the Addresses sheet with the same Organisation Name.</t>
  </si>
  <si>
    <t>4. Address Type must be one of: Registered, Factory, Corporate Office, Delivery.</t>
  </si>
  <si>
    <t xml:space="preserve">   - Only ONE Registered / Factory / Corporate Office address is allowed per organisation.</t>
  </si>
  <si>
    <t xml:space="preserve">   - You CAN add multiple Delivery addresses for the same organisation.</t>
  </si>
  <si>
    <t>5. Country must be typed exactly as it appears in the app (e.g. "India", "United States") — it is used to search a dropdown.</t>
  </si>
  <si>
    <t>6. Phone Dial Code can be left blank — the app auto-fills it based on the Country you pick, unless you want a different one.</t>
  </si>
  <si>
    <t>7. Required fields (per address): Address Type, Address Line 1, City, Country. Everything else is optional.</t>
  </si>
  <si>
    <t>When you are done, save this file and hand it back — the automated script reads it directly by these exact sheet names and column order, so please don't rename sheets, reorder columns, or add extra columns.</t>
  </si>
  <si>
    <t>ExporterTest</t>
  </si>
  <si>
    <t>ConsigneeTest</t>
  </si>
  <si>
    <t>BuyerTest</t>
  </si>
  <si>
    <t>Notify PartyTest</t>
  </si>
  <si>
    <t>VendorTest</t>
  </si>
  <si>
    <t>India</t>
  </si>
  <si>
    <t>Pakistan</t>
  </si>
  <si>
    <t>Afganistan</t>
  </si>
  <si>
    <t>United Arab Emirates</t>
  </si>
  <si>
    <t>Kenya</t>
  </si>
  <si>
    <t>Factory</t>
  </si>
  <si>
    <t>Corporate Office</t>
  </si>
  <si>
    <t>9876500001</t>
  </si>
  <si>
    <t>3001600001</t>
  </si>
  <si>
    <t>701700001</t>
  </si>
  <si>
    <t>41800001</t>
  </si>
  <si>
    <t>7001900001</t>
  </si>
  <si>
    <t>9876500002</t>
  </si>
  <si>
    <t>3001500002</t>
  </si>
  <si>
    <t>701500002</t>
  </si>
  <si>
    <t>41500002</t>
  </si>
  <si>
    <t>7001500002</t>
  </si>
  <si>
    <t>9876500003</t>
  </si>
  <si>
    <t>3001600003</t>
  </si>
  <si>
    <t>701700003</t>
  </si>
  <si>
    <t>41800003</t>
  </si>
  <si>
    <t>7001900003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</si>
</sst>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ourier New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mobility.com/blog/list-of-international-telephone-country-codes" TargetMode="External"/><Relationship Id="rId2" Type="http://schemas.openxmlformats.org/officeDocument/2006/relationships/hyperlink" Target="https://www.linkmobility.com/blog/list-of-international-telephone-country-codes" TargetMode="External"/><Relationship Id="rId1" Type="http://schemas.openxmlformats.org/officeDocument/2006/relationships/hyperlink" Target="https://www.linkmobility.com/blog/list-of-international-telephone-country-co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2" sqref="A2:A6"/>
    </sheetView>
  </sheetViews>
  <sheetFormatPr baseColWidth="10" defaultRowHeight="16" x14ac:dyDescent="0.2"/>
  <cols>
    <col min="1" max="1" width="17.33203125" bestFit="1" customWidth="1"/>
    <col min="2" max="2" width="16" bestFit="1" customWidth="1"/>
    <col min="3" max="3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34</v>
      </c>
      <c r="B2" t="s">
        <v>3</v>
      </c>
    </row>
    <row r="3" spans="1:2" x14ac:dyDescent="0.2">
      <c r="A3" t="s">
        <v>35</v>
      </c>
      <c r="B3" t="s">
        <v>4</v>
      </c>
    </row>
    <row r="4" spans="1:2" x14ac:dyDescent="0.2">
      <c r="A4" t="s">
        <v>36</v>
      </c>
      <c r="B4" t="s">
        <v>5</v>
      </c>
    </row>
    <row r="5" spans="1:2" x14ac:dyDescent="0.2">
      <c r="A5" t="s">
        <v>37</v>
      </c>
      <c r="B5" t="s">
        <v>6</v>
      </c>
    </row>
    <row r="6" spans="1:2" x14ac:dyDescent="0.2">
      <c r="A6" t="s">
        <v>38</v>
      </c>
      <c r="B6" t="s">
        <v>7</v>
      </c>
    </row>
  </sheetData>
  <pageMargins left="0.7" right="0.7" top="0.75" bottom="0.75" header="0.3" footer="0.3"/>
  <ignoredErrors>
    <ignoredError sqref="A1:B1 B2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abSelected="1" topLeftCell="K1" zoomScale="162" workbookViewId="0">
      <selection activeCell="N2" sqref="N2:N16"/>
    </sheetView>
  </sheetViews>
  <sheetFormatPr baseColWidth="10" defaultRowHeight="16" x14ac:dyDescent="0.2"/>
  <cols>
    <col min="1" max="1" width="17.33203125" bestFit="1" customWidth="1"/>
    <col min="2" max="2" width="12" bestFit="1" customWidth="1"/>
    <col min="3" max="4" width="36.6640625" bestFit="1" customWidth="1"/>
    <col min="5" max="5" width="27.6640625" bestFit="1" customWidth="1"/>
    <col min="6" max="6" width="38" bestFit="1" customWidth="1"/>
    <col min="7" max="7" width="32" bestFit="1" customWidth="1"/>
    <col min="8" max="8" width="30.83203125" bestFit="1" customWidth="1"/>
    <col min="9" max="9" width="34.83203125" bestFit="1" customWidth="1"/>
    <col min="10" max="10" width="36.5" bestFit="1" customWidth="1"/>
    <col min="11" max="11" width="38.1640625" bestFit="1" customWidth="1"/>
    <col min="12" max="12" width="37.1640625" bestFit="1" customWidth="1"/>
    <col min="13" max="13" width="31.83203125" bestFit="1" customWidth="1"/>
    <col min="14" max="14" width="32" bestFit="1" customWidth="1"/>
    <col min="15" max="15" width="32.1640625" bestFit="1" customWidth="1"/>
  </cols>
  <sheetData>
    <row r="1" spans="1:15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2">
      <c r="A2" t="s">
        <v>34</v>
      </c>
      <c r="B2" t="s">
        <v>22</v>
      </c>
      <c r="C2" t="str">
        <f>$A2&amp;" "&amp; $B2&amp;" "&amp;C$1</f>
        <v>ExporterTest Registered Address Line 1</v>
      </c>
      <c r="D2" t="str">
        <f t="shared" ref="D2:O2" si="0">$A2&amp;" "&amp; $B2&amp;" "&amp;D$1</f>
        <v>ExporterTest Registered Address Line 2</v>
      </c>
      <c r="E2" t="str">
        <f t="shared" si="0"/>
        <v>ExporterTest Registered City</v>
      </c>
      <c r="F2" t="str">
        <f t="shared" si="0"/>
        <v>ExporterTest Registered State / Province</v>
      </c>
      <c r="G2">
        <v>500001</v>
      </c>
      <c r="H2" t="s">
        <v>39</v>
      </c>
      <c r="I2" t="str">
        <f>$A2&amp;" "&amp; $B2&amp;"@gmail.com"</f>
        <v>ExporterTest Registered@gmail.com</v>
      </c>
      <c r="J2" t="str">
        <f t="shared" si="0"/>
        <v>ExporterTest Registered Contact Name</v>
      </c>
      <c r="K2">
        <v>91</v>
      </c>
      <c r="L2" t="s">
        <v>46</v>
      </c>
      <c r="M2">
        <v>500001</v>
      </c>
      <c r="N2" s="3"/>
      <c r="O2">
        <f>LEN(N2)</f>
        <v>0</v>
      </c>
    </row>
    <row r="3" spans="1:15" x14ac:dyDescent="0.2">
      <c r="A3" t="s">
        <v>35</v>
      </c>
      <c r="B3" t="s">
        <v>22</v>
      </c>
      <c r="C3" t="str">
        <f t="shared" ref="C3:O16" si="1">$A3&amp;" "&amp; $B3&amp;" "&amp;C$1</f>
        <v>ConsigneeTest Registered Address Line 1</v>
      </c>
      <c r="D3" t="str">
        <f t="shared" si="1"/>
        <v>ConsigneeTest Registered Address Line 2</v>
      </c>
      <c r="E3" t="str">
        <f t="shared" si="1"/>
        <v>ConsigneeTest Registered City</v>
      </c>
      <c r="F3" t="str">
        <f t="shared" si="1"/>
        <v>ConsigneeTest Registered State / Province</v>
      </c>
      <c r="G3">
        <v>600001</v>
      </c>
      <c r="H3" t="s">
        <v>40</v>
      </c>
      <c r="I3" t="str">
        <f t="shared" ref="I3:I16" si="2">$A3&amp;" "&amp; $B3&amp;"@gmail.com"</f>
        <v>ConsigneeTest Registered@gmail.com</v>
      </c>
      <c r="J3" t="str">
        <f t="shared" si="1"/>
        <v>ConsigneeTest Registered Contact Name</v>
      </c>
      <c r="K3">
        <v>92</v>
      </c>
      <c r="L3" t="s">
        <v>47</v>
      </c>
      <c r="M3">
        <f>M2+100000</f>
        <v>600001</v>
      </c>
      <c r="N3" s="3"/>
    </row>
    <row r="4" spans="1:15" x14ac:dyDescent="0.2">
      <c r="A4" t="s">
        <v>36</v>
      </c>
      <c r="B4" t="s">
        <v>22</v>
      </c>
      <c r="C4" t="str">
        <f t="shared" si="1"/>
        <v>BuyerTest Registered Address Line 1</v>
      </c>
      <c r="D4" t="str">
        <f t="shared" si="1"/>
        <v>BuyerTest Registered Address Line 2</v>
      </c>
      <c r="E4" t="str">
        <f t="shared" si="1"/>
        <v>BuyerTest Registered City</v>
      </c>
      <c r="F4" t="str">
        <f t="shared" si="1"/>
        <v>BuyerTest Registered State / Province</v>
      </c>
      <c r="G4">
        <v>700001</v>
      </c>
      <c r="H4" t="s">
        <v>41</v>
      </c>
      <c r="I4" t="str">
        <f t="shared" si="2"/>
        <v>BuyerTest Registered@gmail.com</v>
      </c>
      <c r="J4" t="str">
        <f t="shared" si="1"/>
        <v>BuyerTest Registered Contact Name</v>
      </c>
      <c r="K4">
        <v>93</v>
      </c>
      <c r="L4" t="s">
        <v>48</v>
      </c>
      <c r="M4">
        <f t="shared" ref="M4:M6" si="3">M3+100000</f>
        <v>700001</v>
      </c>
      <c r="N4" s="3"/>
    </row>
    <row r="5" spans="1:15" ht="19" x14ac:dyDescent="0.25">
      <c r="A5" t="s">
        <v>37</v>
      </c>
      <c r="B5" t="s">
        <v>22</v>
      </c>
      <c r="C5" t="str">
        <f t="shared" si="1"/>
        <v>Notify PartyTest Registered Address Line 1</v>
      </c>
      <c r="D5" t="str">
        <f t="shared" si="1"/>
        <v>Notify PartyTest Registered Address Line 2</v>
      </c>
      <c r="E5" t="str">
        <f t="shared" si="1"/>
        <v>Notify PartyTest Registered City</v>
      </c>
      <c r="F5" t="str">
        <f t="shared" si="1"/>
        <v>Notify PartyTest Registered State / Province</v>
      </c>
      <c r="G5">
        <v>800001</v>
      </c>
      <c r="H5" t="s">
        <v>42</v>
      </c>
      <c r="I5" t="str">
        <f t="shared" si="2"/>
        <v>Notify PartyTest Registered@gmail.com</v>
      </c>
      <c r="J5" t="str">
        <f t="shared" si="1"/>
        <v>Notify PartyTest Registered Contact Name</v>
      </c>
      <c r="K5">
        <v>971</v>
      </c>
      <c r="L5" s="1" t="s">
        <v>49</v>
      </c>
      <c r="M5">
        <f t="shared" si="3"/>
        <v>800001</v>
      </c>
      <c r="N5" s="3"/>
    </row>
    <row r="6" spans="1:15" x14ac:dyDescent="0.2">
      <c r="A6" t="s">
        <v>38</v>
      </c>
      <c r="B6" t="s">
        <v>22</v>
      </c>
      <c r="C6" t="str">
        <f t="shared" si="1"/>
        <v>VendorTest Registered Address Line 1</v>
      </c>
      <c r="D6" t="str">
        <f t="shared" si="1"/>
        <v>VendorTest Registered Address Line 2</v>
      </c>
      <c r="E6" t="str">
        <f t="shared" si="1"/>
        <v>VendorTest Registered City</v>
      </c>
      <c r="F6" t="str">
        <f t="shared" si="1"/>
        <v>VendorTest Registered State / Province</v>
      </c>
      <c r="G6">
        <v>900001</v>
      </c>
      <c r="H6" t="s">
        <v>43</v>
      </c>
      <c r="I6" t="str">
        <f t="shared" si="2"/>
        <v>VendorTest Registered@gmail.com</v>
      </c>
      <c r="J6" t="str">
        <f t="shared" si="1"/>
        <v>VendorTest Registered Contact Name</v>
      </c>
      <c r="K6">
        <v>254</v>
      </c>
      <c r="L6" s="2" t="s">
        <v>50</v>
      </c>
      <c r="M6">
        <f t="shared" si="3"/>
        <v>900001</v>
      </c>
      <c r="N6" s="3"/>
    </row>
    <row r="7" spans="1:15" x14ac:dyDescent="0.2">
      <c r="A7" t="s">
        <v>34</v>
      </c>
      <c r="B7" t="s">
        <v>44</v>
      </c>
      <c r="C7" t="str">
        <f>$A7&amp;" "&amp; $B7&amp;" "&amp;C$1</f>
        <v>ExporterTest Factory Address Line 1</v>
      </c>
      <c r="D7" t="str">
        <f t="shared" si="1"/>
        <v>ExporterTest Factory Address Line 2</v>
      </c>
      <c r="E7" t="str">
        <f t="shared" si="1"/>
        <v>ExporterTest Factory City</v>
      </c>
      <c r="F7" t="str">
        <f t="shared" si="1"/>
        <v>ExporterTest Factory State / Province</v>
      </c>
      <c r="G7">
        <v>500002</v>
      </c>
      <c r="H7" t="s">
        <v>39</v>
      </c>
      <c r="I7" t="str">
        <f>$A7&amp;" "&amp; $B7&amp;"@gmail.com"</f>
        <v>ExporterTest Factory@gmail.com</v>
      </c>
      <c r="J7" t="str">
        <f t="shared" si="1"/>
        <v>ExporterTest Factory Contact Name</v>
      </c>
      <c r="K7">
        <v>91</v>
      </c>
      <c r="L7" t="s">
        <v>51</v>
      </c>
      <c r="M7">
        <v>500001</v>
      </c>
      <c r="N7" s="3"/>
    </row>
    <row r="8" spans="1:15" x14ac:dyDescent="0.2">
      <c r="A8" t="s">
        <v>35</v>
      </c>
      <c r="B8" t="s">
        <v>44</v>
      </c>
      <c r="C8" t="str">
        <f t="shared" si="1"/>
        <v>ConsigneeTest Factory Address Line 1</v>
      </c>
      <c r="D8" t="str">
        <f t="shared" si="1"/>
        <v>ConsigneeTest Factory Address Line 2</v>
      </c>
      <c r="E8" t="str">
        <f t="shared" si="1"/>
        <v>ConsigneeTest Factory City</v>
      </c>
      <c r="F8" t="str">
        <f t="shared" si="1"/>
        <v>ConsigneeTest Factory State / Province</v>
      </c>
      <c r="G8">
        <v>500002</v>
      </c>
      <c r="H8" t="s">
        <v>40</v>
      </c>
      <c r="I8" t="str">
        <f t="shared" si="2"/>
        <v>ConsigneeTest Factory@gmail.com</v>
      </c>
      <c r="J8" t="str">
        <f t="shared" si="1"/>
        <v>ConsigneeTest Factory Contact Name</v>
      </c>
      <c r="K8">
        <v>92</v>
      </c>
      <c r="L8" t="s">
        <v>52</v>
      </c>
      <c r="M8">
        <f>M7+100000</f>
        <v>600001</v>
      </c>
      <c r="N8" s="3"/>
    </row>
    <row r="9" spans="1:15" x14ac:dyDescent="0.2">
      <c r="A9" t="s">
        <v>36</v>
      </c>
      <c r="B9" t="s">
        <v>44</v>
      </c>
      <c r="C9" t="str">
        <f t="shared" si="1"/>
        <v>BuyerTest Factory Address Line 1</v>
      </c>
      <c r="D9" t="str">
        <f t="shared" si="1"/>
        <v>BuyerTest Factory Address Line 2</v>
      </c>
      <c r="E9" t="str">
        <f t="shared" si="1"/>
        <v>BuyerTest Factory City</v>
      </c>
      <c r="F9" t="str">
        <f t="shared" si="1"/>
        <v>BuyerTest Factory State / Province</v>
      </c>
      <c r="G9">
        <v>500002</v>
      </c>
      <c r="H9" t="s">
        <v>41</v>
      </c>
      <c r="I9" t="str">
        <f t="shared" si="2"/>
        <v>BuyerTest Factory@gmail.com</v>
      </c>
      <c r="J9" t="str">
        <f t="shared" si="1"/>
        <v>BuyerTest Factory Contact Name</v>
      </c>
      <c r="K9">
        <v>93</v>
      </c>
      <c r="L9" t="s">
        <v>53</v>
      </c>
      <c r="M9">
        <f t="shared" ref="M9:M11" si="4">M8+100000</f>
        <v>700001</v>
      </c>
      <c r="N9" s="3"/>
    </row>
    <row r="10" spans="1:15" ht="19" x14ac:dyDescent="0.25">
      <c r="A10" t="s">
        <v>37</v>
      </c>
      <c r="B10" t="s">
        <v>44</v>
      </c>
      <c r="C10" t="str">
        <f t="shared" si="1"/>
        <v>Notify PartyTest Factory Address Line 1</v>
      </c>
      <c r="D10" t="str">
        <f t="shared" si="1"/>
        <v>Notify PartyTest Factory Address Line 2</v>
      </c>
      <c r="E10" t="str">
        <f t="shared" si="1"/>
        <v>Notify PartyTest Factory City</v>
      </c>
      <c r="F10" t="str">
        <f t="shared" si="1"/>
        <v>Notify PartyTest Factory State / Province</v>
      </c>
      <c r="G10">
        <v>500002</v>
      </c>
      <c r="H10" t="s">
        <v>42</v>
      </c>
      <c r="I10" t="str">
        <f t="shared" si="2"/>
        <v>Notify PartyTest Factory@gmail.com</v>
      </c>
      <c r="J10" t="str">
        <f t="shared" si="1"/>
        <v>Notify PartyTest Factory Contact Name</v>
      </c>
      <c r="K10">
        <v>971</v>
      </c>
      <c r="L10" s="1" t="s">
        <v>54</v>
      </c>
      <c r="M10">
        <f t="shared" si="4"/>
        <v>800001</v>
      </c>
      <c r="N10" s="3"/>
    </row>
    <row r="11" spans="1:15" x14ac:dyDescent="0.2">
      <c r="A11" t="s">
        <v>38</v>
      </c>
      <c r="B11" t="s">
        <v>44</v>
      </c>
      <c r="C11" t="str">
        <f t="shared" si="1"/>
        <v>VendorTest Factory Address Line 1</v>
      </c>
      <c r="D11" t="str">
        <f t="shared" si="1"/>
        <v>VendorTest Factory Address Line 2</v>
      </c>
      <c r="E11" t="str">
        <f t="shared" si="1"/>
        <v>VendorTest Factory City</v>
      </c>
      <c r="F11" t="str">
        <f t="shared" si="1"/>
        <v>VendorTest Factory State / Province</v>
      </c>
      <c r="G11">
        <v>500002</v>
      </c>
      <c r="H11" t="s">
        <v>43</v>
      </c>
      <c r="I11" t="str">
        <f t="shared" si="2"/>
        <v>VendorTest Factory@gmail.com</v>
      </c>
      <c r="J11" t="str">
        <f t="shared" si="1"/>
        <v>VendorTest Factory Contact Name</v>
      </c>
      <c r="K11">
        <v>254</v>
      </c>
      <c r="L11" s="2" t="s">
        <v>55</v>
      </c>
      <c r="M11">
        <f t="shared" si="4"/>
        <v>900001</v>
      </c>
      <c r="N11" s="3"/>
    </row>
    <row r="12" spans="1:15" x14ac:dyDescent="0.2">
      <c r="A12" t="s">
        <v>34</v>
      </c>
      <c r="B12" t="s">
        <v>45</v>
      </c>
      <c r="C12" t="str">
        <f>$A12&amp;" "&amp; $B12&amp;" "&amp;C$1</f>
        <v>ExporterTest Corporate Office Address Line 1</v>
      </c>
      <c r="D12" t="str">
        <f t="shared" si="1"/>
        <v>ExporterTest Corporate Office Address Line 2</v>
      </c>
      <c r="E12" t="str">
        <f t="shared" si="1"/>
        <v>ExporterTest Corporate Office City</v>
      </c>
      <c r="F12" t="str">
        <f t="shared" si="1"/>
        <v>ExporterTest Corporate Office State / Province</v>
      </c>
      <c r="G12">
        <v>500003</v>
      </c>
      <c r="H12" t="s">
        <v>39</v>
      </c>
      <c r="I12" t="str">
        <f>$A12&amp;" "&amp; $B12&amp;"@gmail.com"</f>
        <v>ExporterTest Corporate Office@gmail.com</v>
      </c>
      <c r="J12" t="str">
        <f t="shared" si="1"/>
        <v>ExporterTest Corporate Office Contact Name</v>
      </c>
      <c r="K12">
        <v>91</v>
      </c>
      <c r="L12" t="s">
        <v>56</v>
      </c>
      <c r="M12">
        <v>500001</v>
      </c>
      <c r="N12" s="3"/>
    </row>
    <row r="13" spans="1:15" x14ac:dyDescent="0.2">
      <c r="A13" t="s">
        <v>35</v>
      </c>
      <c r="B13" t="s">
        <v>45</v>
      </c>
      <c r="C13" t="str">
        <f t="shared" si="1"/>
        <v>ConsigneeTest Corporate Office Address Line 1</v>
      </c>
      <c r="D13" t="str">
        <f t="shared" si="1"/>
        <v>ConsigneeTest Corporate Office Address Line 2</v>
      </c>
      <c r="E13" t="str">
        <f t="shared" si="1"/>
        <v>ConsigneeTest Corporate Office City</v>
      </c>
      <c r="F13" t="str">
        <f t="shared" si="1"/>
        <v>ConsigneeTest Corporate Office State / Province</v>
      </c>
      <c r="G13">
        <f>G12+100000</f>
        <v>600003</v>
      </c>
      <c r="H13" t="s">
        <v>40</v>
      </c>
      <c r="I13" t="str">
        <f t="shared" si="2"/>
        <v>ConsigneeTest Corporate Office@gmail.com</v>
      </c>
      <c r="J13" t="str">
        <f t="shared" si="1"/>
        <v>ConsigneeTest Corporate Office Contact Name</v>
      </c>
      <c r="K13">
        <v>92</v>
      </c>
      <c r="L13" t="s">
        <v>57</v>
      </c>
      <c r="M13">
        <f>M12+100000</f>
        <v>600001</v>
      </c>
      <c r="N13" s="3"/>
    </row>
    <row r="14" spans="1:15" x14ac:dyDescent="0.2">
      <c r="A14" t="s">
        <v>36</v>
      </c>
      <c r="B14" t="s">
        <v>45</v>
      </c>
      <c r="C14" t="str">
        <f t="shared" si="1"/>
        <v>BuyerTest Corporate Office Address Line 1</v>
      </c>
      <c r="D14" t="str">
        <f t="shared" si="1"/>
        <v>BuyerTest Corporate Office Address Line 2</v>
      </c>
      <c r="E14" t="str">
        <f t="shared" si="1"/>
        <v>BuyerTest Corporate Office City</v>
      </c>
      <c r="F14" t="str">
        <f t="shared" si="1"/>
        <v>BuyerTest Corporate Office State / Province</v>
      </c>
      <c r="G14">
        <f t="shared" ref="G14:G16" si="5">G13+100000</f>
        <v>700003</v>
      </c>
      <c r="H14" t="s">
        <v>41</v>
      </c>
      <c r="I14" t="str">
        <f t="shared" si="2"/>
        <v>BuyerTest Corporate Office@gmail.com</v>
      </c>
      <c r="J14" t="str">
        <f t="shared" si="1"/>
        <v>BuyerTest Corporate Office Contact Name</v>
      </c>
      <c r="K14">
        <v>93</v>
      </c>
      <c r="L14" t="s">
        <v>58</v>
      </c>
      <c r="M14">
        <f t="shared" ref="M14:M16" si="6">M13+100000</f>
        <v>700001</v>
      </c>
      <c r="N14" s="3"/>
    </row>
    <row r="15" spans="1:15" ht="19" x14ac:dyDescent="0.25">
      <c r="A15" t="s">
        <v>37</v>
      </c>
      <c r="B15" t="s">
        <v>45</v>
      </c>
      <c r="C15" t="str">
        <f t="shared" si="1"/>
        <v>Notify PartyTest Corporate Office Address Line 1</v>
      </c>
      <c r="D15" t="str">
        <f t="shared" si="1"/>
        <v>Notify PartyTest Corporate Office Address Line 2</v>
      </c>
      <c r="E15" t="str">
        <f t="shared" si="1"/>
        <v>Notify PartyTest Corporate Office City</v>
      </c>
      <c r="F15" t="str">
        <f t="shared" si="1"/>
        <v>Notify PartyTest Corporate Office State / Province</v>
      </c>
      <c r="G15">
        <f t="shared" si="5"/>
        <v>800003</v>
      </c>
      <c r="H15" t="s">
        <v>42</v>
      </c>
      <c r="I15" t="str">
        <f t="shared" si="2"/>
        <v>Notify PartyTest Corporate Office@gmail.com</v>
      </c>
      <c r="J15" t="str">
        <f t="shared" si="1"/>
        <v>Notify PartyTest Corporate Office Contact Name</v>
      </c>
      <c r="K15">
        <v>971</v>
      </c>
      <c r="L15" s="1" t="s">
        <v>59</v>
      </c>
      <c r="M15">
        <f t="shared" si="6"/>
        <v>800001</v>
      </c>
      <c r="N15" s="3"/>
    </row>
    <row r="16" spans="1:15" x14ac:dyDescent="0.2">
      <c r="A16" t="s">
        <v>38</v>
      </c>
      <c r="B16" t="s">
        <v>45</v>
      </c>
      <c r="C16" t="str">
        <f t="shared" si="1"/>
        <v>VendorTest Corporate Office Address Line 1</v>
      </c>
      <c r="D16" t="str">
        <f t="shared" si="1"/>
        <v>VendorTest Corporate Office Address Line 2</v>
      </c>
      <c r="E16" t="str">
        <f t="shared" si="1"/>
        <v>VendorTest Corporate Office City</v>
      </c>
      <c r="F16" t="str">
        <f t="shared" si="1"/>
        <v>VendorTest Corporate Office State / Province</v>
      </c>
      <c r="G16">
        <f t="shared" si="5"/>
        <v>900003</v>
      </c>
      <c r="H16" t="s">
        <v>43</v>
      </c>
      <c r="I16" t="str">
        <f t="shared" si="2"/>
        <v>VendorTest Corporate Office@gmail.com</v>
      </c>
      <c r="J16" t="str">
        <f t="shared" si="1"/>
        <v>VendorTest Corporate Office Contact Name</v>
      </c>
      <c r="K16">
        <v>254</v>
      </c>
      <c r="L16" s="2" t="s">
        <v>60</v>
      </c>
      <c r="M16">
        <f t="shared" si="6"/>
        <v>900001</v>
      </c>
      <c r="N16" s="3"/>
    </row>
    <row r="17" spans="2:13" ht="19" x14ac:dyDescent="0.25">
      <c r="M17" s="1"/>
    </row>
    <row r="18" spans="2:13" x14ac:dyDescent="0.2">
      <c r="M18" s="2"/>
    </row>
    <row r="25" spans="2:13" x14ac:dyDescent="0.2">
      <c r="B25" t="s">
        <v>45</v>
      </c>
    </row>
  </sheetData>
  <hyperlinks>
    <hyperlink ref="L6" r:id="rId1" display="https://www.linkmobility.com/blog/list-of-international-telephone-country-codes" xr:uid="{393D65AA-459F-F341-B776-CC668AAE0EEC}"/>
    <hyperlink ref="L11" r:id="rId2" display="https://www.linkmobility.com/blog/list-of-international-telephone-country-codes" xr:uid="{C193FF0C-46C2-7A48-ABC8-B756C3DDC6A3}"/>
    <hyperlink ref="L16" r:id="rId3" display="https://www.linkmobility.com/blog/list-of-international-telephone-country-codes" xr:uid="{3A55DDD6-3EE7-6C45-BC00-93F9B97FC7B1}"/>
  </hyperlinks>
  <pageMargins left="0.7" right="0.7" top="0.75" bottom="0.75" header="0.3" footer="0.3"/>
  <ignoredErrors>
    <ignoredError sqref="A1:O1 B3:B6 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topLeftCell="A2" workbookViewId="0">
      <selection activeCell="A7" sqref="A7"/>
    </sheetView>
  </sheetViews>
  <sheetFormatPr baseColWidth="10" defaultRowHeight="16" x14ac:dyDescent="0.2"/>
  <sheetData>
    <row r="1" spans="1:1" x14ac:dyDescent="0.2">
      <c r="A1" t="s">
        <v>23</v>
      </c>
    </row>
    <row r="2" spans="1:1" x14ac:dyDescent="0.2">
      <c r="A2" t="s">
        <v>2</v>
      </c>
    </row>
    <row r="3" spans="1:1" x14ac:dyDescent="0.2">
      <c r="A3" t="s">
        <v>24</v>
      </c>
    </row>
    <row r="4" spans="1:1" x14ac:dyDescent="0.2">
      <c r="A4" t="s">
        <v>25</v>
      </c>
    </row>
    <row r="5" spans="1:1" x14ac:dyDescent="0.2">
      <c r="A5" t="s">
        <v>26</v>
      </c>
    </row>
    <row r="6" spans="1:1" x14ac:dyDescent="0.2">
      <c r="A6" t="s">
        <v>27</v>
      </c>
    </row>
    <row r="7" spans="1:1" x14ac:dyDescent="0.2">
      <c r="A7" t="s">
        <v>28</v>
      </c>
    </row>
    <row r="8" spans="1:1" x14ac:dyDescent="0.2">
      <c r="A8" t="s">
        <v>29</v>
      </c>
    </row>
    <row r="9" spans="1:1" x14ac:dyDescent="0.2">
      <c r="A9" t="s">
        <v>30</v>
      </c>
    </row>
    <row r="10" spans="1:1" x14ac:dyDescent="0.2">
      <c r="A10" t="s">
        <v>31</v>
      </c>
    </row>
    <row r="11" spans="1:1" x14ac:dyDescent="0.2">
      <c r="A11" t="s">
        <v>32</v>
      </c>
    </row>
    <row r="12" spans="1:1" x14ac:dyDescent="0.2">
      <c r="A12" t="s">
        <v>2</v>
      </c>
    </row>
    <row r="13" spans="1:1" x14ac:dyDescent="0.2">
      <c r="A13" t="s">
        <v>33</v>
      </c>
    </row>
  </sheetData>
  <pageMargins left="0.7" right="0.7" top="0.75" bottom="0.75" header="0.3" footer="0.3"/>
  <ignoredErrors>
    <ignoredError sqref="A1:A6 A8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Organisations</vt:lpstr>
      <vt:lpstr>Addresses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</cp:lastModifiedBy>
  <dcterms:modified xsi:type="dcterms:W3CDTF">2026-07-12T14:33:54Z</dcterms:modified>
</cp:coreProperties>
</file>